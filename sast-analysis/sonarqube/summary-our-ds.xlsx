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hD\paper3\sast-analysis\sonarqube\"/>
    </mc:Choice>
  </mc:AlternateContent>
  <xr:revisionPtr revIDLastSave="0" documentId="13_ncr:1_{009EA153-2F72-4152-9773-075B0083078E}" xr6:coauthVersionLast="47" xr6:coauthVersionMax="47" xr10:uidLastSave="{00000000-0000-0000-0000-000000000000}"/>
  <bookViews>
    <workbookView xWindow="-110" yWindow="-110" windowWidth="19420" windowHeight="11500" xr2:uid="{A2921266-2B36-4E0A-A65F-4DB502CE2513}"/>
  </bookViews>
  <sheets>
    <sheet name="C" sheetId="1" r:id="rId1"/>
    <sheet name="Java" sheetId="2" r:id="rId2"/>
    <sheet name="Pyth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2" i="1"/>
</calcChain>
</file>

<file path=xl/sharedStrings.xml><?xml version="1.0" encoding="utf-8"?>
<sst xmlns="http://schemas.openxmlformats.org/spreadsheetml/2006/main" count="185" uniqueCount="51">
  <si>
    <t>Group</t>
  </si>
  <si>
    <t>LLM name</t>
  </si>
  <si>
    <t>prompt method</t>
  </si>
  <si>
    <t>blocker_count</t>
  </si>
  <si>
    <t>critical_count</t>
  </si>
  <si>
    <t>major_count</t>
  </si>
  <si>
    <t>minor_count</t>
  </si>
  <si>
    <t>info_count</t>
  </si>
  <si>
    <t>CWE-119_files</t>
  </si>
  <si>
    <t>CWE-119_total</t>
  </si>
  <si>
    <t>CWE-120_files</t>
  </si>
  <si>
    <t>CWE-120_total</t>
  </si>
  <si>
    <t>CWE-14_files</t>
  </si>
  <si>
    <t>CWE-14_total</t>
  </si>
  <si>
    <t>CWE-295_files</t>
  </si>
  <si>
    <t>CWE-295_total</t>
  </si>
  <si>
    <t>CWE-297_files</t>
  </si>
  <si>
    <t>CWE-297_total</t>
  </si>
  <si>
    <t>CWE-327_files</t>
  </si>
  <si>
    <t>CWE-327_total</t>
  </si>
  <si>
    <t>CWE-367_files</t>
  </si>
  <si>
    <t>CWE-367_total</t>
  </si>
  <si>
    <t>CWE-611_files</t>
  </si>
  <si>
    <t>CWE-611_total</t>
  </si>
  <si>
    <t>source</t>
  </si>
  <si>
    <t>CoT</t>
  </si>
  <si>
    <t>Vanilla</t>
  </si>
  <si>
    <t>ZeroShot</t>
  </si>
  <si>
    <t>ourMethod</t>
  </si>
  <si>
    <t>CWE-20_files</t>
  </si>
  <si>
    <t>CWE-20_total</t>
  </si>
  <si>
    <t>CWE-259_files</t>
  </si>
  <si>
    <t>CWE-259_total</t>
  </si>
  <si>
    <t>CWE-323_files</t>
  </si>
  <si>
    <t>CWE-323_total</t>
  </si>
  <si>
    <t>CWE-521_files</t>
  </si>
  <si>
    <t>CWE-521_total</t>
  </si>
  <si>
    <t>CWE-600_files</t>
  </si>
  <si>
    <t>CWE-600_total</t>
  </si>
  <si>
    <t>CWE-79_files</t>
  </si>
  <si>
    <t>CWE-79_total</t>
  </si>
  <si>
    <t>java</t>
  </si>
  <si>
    <t>CWE-113_files</t>
  </si>
  <si>
    <t>CWE-113_total</t>
  </si>
  <si>
    <t>CWE-256_files</t>
  </si>
  <si>
    <t>CWE-256_total</t>
  </si>
  <si>
    <t>output</t>
  </si>
  <si>
    <t>gpt-5</t>
  </si>
  <si>
    <t>claude-4.5</t>
  </si>
  <si>
    <t>gemini-2.5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</si>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</sst>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2475-A80D-4DE6-AE71-A3C80F94C595}">
  <dimension ref="A1:Y13"/>
  <sheetViews>
    <sheetView tabSelected="1" workbookViewId="0">
      <selection activeCell="AA7" sqref="AA7"/>
    </sheetView>
  </sheetViews>
  <sheetFormatPr defaultRowHeight="14.5" x14ac:dyDescent="0.35"/>
  <cols>
    <col min="15" max="15" width="13.453125" customWidth="1"/>
    <col min="16" max="16" width="13.726562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50</v>
      </c>
    </row>
    <row r="2" spans="1:25" x14ac:dyDescent="0.35">
      <c r="A2" t="s">
        <v>24</v>
      </c>
      <c r="B2" t="s">
        <v>48</v>
      </c>
      <c r="C2" t="s">
        <v>25</v>
      </c>
      <c r="D2">
        <v>5</v>
      </c>
      <c r="E2">
        <v>22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5</v>
      </c>
      <c r="O2">
        <v>4</v>
      </c>
      <c r="P2">
        <v>4</v>
      </c>
      <c r="Q2">
        <v>1</v>
      </c>
      <c r="R2">
        <v>1</v>
      </c>
      <c r="S2">
        <v>3</v>
      </c>
      <c r="T2">
        <v>8</v>
      </c>
      <c r="U2">
        <v>9</v>
      </c>
      <c r="V2">
        <v>9</v>
      </c>
      <c r="W2">
        <v>0</v>
      </c>
      <c r="X2">
        <v>0</v>
      </c>
      <c r="Y2">
        <f>SUM(X2,V2,T2,R2,P2,N2,L2,J2)-SUM(D2:H2)</f>
        <v>0</v>
      </c>
    </row>
    <row r="3" spans="1:25" x14ac:dyDescent="0.35">
      <c r="A3" t="s">
        <v>24</v>
      </c>
      <c r="B3" t="s">
        <v>48</v>
      </c>
      <c r="C3" t="s">
        <v>26</v>
      </c>
      <c r="D3">
        <v>1</v>
      </c>
      <c r="E3">
        <v>18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8</v>
      </c>
      <c r="P3">
        <v>9</v>
      </c>
      <c r="Q3">
        <v>3</v>
      </c>
      <c r="R3">
        <v>3</v>
      </c>
      <c r="S3">
        <v>4</v>
      </c>
      <c r="T3">
        <v>4</v>
      </c>
      <c r="U3">
        <v>2</v>
      </c>
      <c r="V3">
        <v>2</v>
      </c>
      <c r="W3">
        <v>0</v>
      </c>
      <c r="X3">
        <v>0</v>
      </c>
      <c r="Y3">
        <f t="shared" ref="Y3:Y13" si="0">SUM(X3,V3,T3,R3,P3,N3,L3,J3)-SUM(D3:H3)</f>
        <v>0</v>
      </c>
    </row>
    <row r="4" spans="1:25" x14ac:dyDescent="0.35">
      <c r="A4" t="s">
        <v>24</v>
      </c>
      <c r="B4" t="s">
        <v>48</v>
      </c>
      <c r="C4" t="s">
        <v>27</v>
      </c>
      <c r="D4">
        <v>3</v>
      </c>
      <c r="E4">
        <v>17</v>
      </c>
      <c r="F4">
        <v>0</v>
      </c>
      <c r="G4">
        <v>0</v>
      </c>
      <c r="H4">
        <v>0</v>
      </c>
      <c r="I4">
        <v>3</v>
      </c>
      <c r="J4">
        <v>3</v>
      </c>
      <c r="K4">
        <v>0</v>
      </c>
      <c r="L4">
        <v>0</v>
      </c>
      <c r="M4">
        <v>0</v>
      </c>
      <c r="N4">
        <v>0</v>
      </c>
      <c r="O4">
        <v>4</v>
      </c>
      <c r="P4">
        <v>4</v>
      </c>
      <c r="Q4">
        <v>2</v>
      </c>
      <c r="R4">
        <v>2</v>
      </c>
      <c r="S4">
        <v>5</v>
      </c>
      <c r="T4">
        <v>7</v>
      </c>
      <c r="U4">
        <v>4</v>
      </c>
      <c r="V4">
        <v>4</v>
      </c>
      <c r="W4">
        <v>0</v>
      </c>
      <c r="X4">
        <v>0</v>
      </c>
      <c r="Y4">
        <f t="shared" si="0"/>
        <v>0</v>
      </c>
    </row>
    <row r="5" spans="1:25" x14ac:dyDescent="0.35">
      <c r="A5" t="s">
        <v>24</v>
      </c>
      <c r="B5" t="s">
        <v>48</v>
      </c>
      <c r="C5" t="s">
        <v>28</v>
      </c>
      <c r="D5">
        <v>8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8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2</v>
      </c>
      <c r="V5">
        <v>2</v>
      </c>
      <c r="W5">
        <v>0</v>
      </c>
      <c r="X5">
        <v>0</v>
      </c>
      <c r="Y5">
        <f t="shared" si="0"/>
        <v>0</v>
      </c>
    </row>
    <row r="6" spans="1:25" x14ac:dyDescent="0.35">
      <c r="A6" t="s">
        <v>24</v>
      </c>
      <c r="B6" t="s">
        <v>49</v>
      </c>
      <c r="C6" t="s">
        <v>25</v>
      </c>
      <c r="D6">
        <v>2</v>
      </c>
      <c r="E6">
        <v>14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10</v>
      </c>
      <c r="P6">
        <v>10</v>
      </c>
      <c r="Q6">
        <v>1</v>
      </c>
      <c r="R6">
        <v>1</v>
      </c>
      <c r="S6">
        <v>2</v>
      </c>
      <c r="T6">
        <v>2</v>
      </c>
      <c r="U6">
        <v>1</v>
      </c>
      <c r="V6">
        <v>1</v>
      </c>
      <c r="W6">
        <v>1</v>
      </c>
      <c r="X6">
        <v>1</v>
      </c>
      <c r="Y6">
        <f t="shared" si="0"/>
        <v>0</v>
      </c>
    </row>
    <row r="7" spans="1:25" x14ac:dyDescent="0.35">
      <c r="A7" t="s">
        <v>24</v>
      </c>
      <c r="B7" t="s">
        <v>49</v>
      </c>
      <c r="C7" t="s">
        <v>26</v>
      </c>
      <c r="D7">
        <v>2</v>
      </c>
      <c r="E7">
        <v>14</v>
      </c>
      <c r="F7">
        <v>0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0</v>
      </c>
      <c r="N7">
        <v>0</v>
      </c>
      <c r="O7">
        <v>9</v>
      </c>
      <c r="P7">
        <v>9</v>
      </c>
      <c r="Q7">
        <v>2</v>
      </c>
      <c r="R7">
        <v>2</v>
      </c>
      <c r="S7">
        <v>2</v>
      </c>
      <c r="T7">
        <v>2</v>
      </c>
      <c r="U7">
        <v>1</v>
      </c>
      <c r="V7">
        <v>1</v>
      </c>
      <c r="W7">
        <v>0</v>
      </c>
      <c r="X7">
        <v>0</v>
      </c>
      <c r="Y7">
        <f t="shared" si="0"/>
        <v>0</v>
      </c>
    </row>
    <row r="8" spans="1:25" x14ac:dyDescent="0.35">
      <c r="A8" t="s">
        <v>24</v>
      </c>
      <c r="B8" t="s">
        <v>49</v>
      </c>
      <c r="C8" t="s">
        <v>27</v>
      </c>
      <c r="D8">
        <v>0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2</v>
      </c>
      <c r="M8">
        <v>0</v>
      </c>
      <c r="N8">
        <v>0</v>
      </c>
      <c r="O8">
        <v>7</v>
      </c>
      <c r="P8">
        <v>8</v>
      </c>
      <c r="Q8">
        <v>3</v>
      </c>
      <c r="R8">
        <v>4</v>
      </c>
      <c r="S8">
        <v>2</v>
      </c>
      <c r="T8">
        <v>2</v>
      </c>
      <c r="U8">
        <v>3</v>
      </c>
      <c r="V8">
        <v>4</v>
      </c>
      <c r="W8">
        <v>0</v>
      </c>
      <c r="X8">
        <v>0</v>
      </c>
      <c r="Y8">
        <f t="shared" si="0"/>
        <v>0</v>
      </c>
    </row>
    <row r="9" spans="1:25" x14ac:dyDescent="0.35">
      <c r="A9" t="s">
        <v>24</v>
      </c>
      <c r="B9" t="s">
        <v>49</v>
      </c>
      <c r="C9" t="s">
        <v>28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</v>
      </c>
      <c r="P9">
        <v>3</v>
      </c>
      <c r="Q9">
        <v>2</v>
      </c>
      <c r="R9">
        <v>2</v>
      </c>
      <c r="S9">
        <v>0</v>
      </c>
      <c r="T9">
        <v>0</v>
      </c>
      <c r="U9">
        <v>2</v>
      </c>
      <c r="V9">
        <v>2</v>
      </c>
      <c r="W9">
        <v>0</v>
      </c>
      <c r="X9">
        <v>0</v>
      </c>
      <c r="Y9">
        <f t="shared" si="0"/>
        <v>0</v>
      </c>
    </row>
    <row r="10" spans="1:25" x14ac:dyDescent="0.35">
      <c r="A10" t="s">
        <v>24</v>
      </c>
      <c r="B10" t="s">
        <v>47</v>
      </c>
      <c r="C10" t="s">
        <v>25</v>
      </c>
      <c r="D10">
        <v>10</v>
      </c>
      <c r="E10">
        <v>14</v>
      </c>
      <c r="F10">
        <v>0</v>
      </c>
      <c r="G10">
        <v>0</v>
      </c>
      <c r="H10">
        <v>0</v>
      </c>
      <c r="I10">
        <v>2</v>
      </c>
      <c r="J10">
        <v>2</v>
      </c>
      <c r="K10">
        <v>0</v>
      </c>
      <c r="L10">
        <v>0</v>
      </c>
      <c r="M10">
        <v>3</v>
      </c>
      <c r="N10">
        <v>8</v>
      </c>
      <c r="O10">
        <v>4</v>
      </c>
      <c r="P10">
        <v>4</v>
      </c>
      <c r="Q10">
        <v>1</v>
      </c>
      <c r="R10">
        <v>1</v>
      </c>
      <c r="S10">
        <v>2</v>
      </c>
      <c r="T10">
        <v>6</v>
      </c>
      <c r="U10">
        <v>3</v>
      </c>
      <c r="V10">
        <v>3</v>
      </c>
      <c r="W10">
        <v>0</v>
      </c>
      <c r="X10">
        <v>0</v>
      </c>
      <c r="Y10">
        <f t="shared" si="0"/>
        <v>0</v>
      </c>
    </row>
    <row r="11" spans="1:25" x14ac:dyDescent="0.35">
      <c r="A11" t="s">
        <v>24</v>
      </c>
      <c r="B11" t="s">
        <v>47</v>
      </c>
      <c r="C11" t="s">
        <v>26</v>
      </c>
      <c r="D11">
        <v>1</v>
      </c>
      <c r="E11">
        <v>16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7</v>
      </c>
      <c r="P11">
        <v>7</v>
      </c>
      <c r="Q11">
        <v>1</v>
      </c>
      <c r="R11">
        <v>1</v>
      </c>
      <c r="S11">
        <v>2</v>
      </c>
      <c r="T11">
        <v>6</v>
      </c>
      <c r="U11">
        <v>2</v>
      </c>
      <c r="V11">
        <v>2</v>
      </c>
      <c r="W11">
        <v>0</v>
      </c>
      <c r="X11">
        <v>0</v>
      </c>
      <c r="Y11">
        <f t="shared" si="0"/>
        <v>0</v>
      </c>
    </row>
    <row r="12" spans="1:25" x14ac:dyDescent="0.35">
      <c r="A12" t="s">
        <v>24</v>
      </c>
      <c r="B12" t="s">
        <v>47</v>
      </c>
      <c r="C12" t="s">
        <v>27</v>
      </c>
      <c r="D12">
        <v>9</v>
      </c>
      <c r="E12">
        <v>14</v>
      </c>
      <c r="F12">
        <v>0</v>
      </c>
      <c r="G12">
        <v>0</v>
      </c>
      <c r="H12">
        <v>0</v>
      </c>
      <c r="I12">
        <v>2</v>
      </c>
      <c r="J12">
        <v>2</v>
      </c>
      <c r="K12">
        <v>0</v>
      </c>
      <c r="L12">
        <v>0</v>
      </c>
      <c r="M12">
        <v>2</v>
      </c>
      <c r="N12">
        <v>7</v>
      </c>
      <c r="O12">
        <v>2</v>
      </c>
      <c r="P12">
        <v>2</v>
      </c>
      <c r="Q12">
        <v>1</v>
      </c>
      <c r="R12">
        <v>1</v>
      </c>
      <c r="S12">
        <v>2</v>
      </c>
      <c r="T12">
        <v>6</v>
      </c>
      <c r="U12">
        <v>4</v>
      </c>
      <c r="V12">
        <v>5</v>
      </c>
      <c r="W12">
        <v>0</v>
      </c>
      <c r="X12">
        <v>0</v>
      </c>
      <c r="Y12">
        <f t="shared" si="0"/>
        <v>0</v>
      </c>
    </row>
    <row r="13" spans="1:25" x14ac:dyDescent="0.35">
      <c r="A13" t="s">
        <v>24</v>
      </c>
      <c r="B13" t="s">
        <v>47</v>
      </c>
      <c r="C13" t="s">
        <v>28</v>
      </c>
      <c r="D13">
        <v>2</v>
      </c>
      <c r="E13">
        <v>11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2</v>
      </c>
      <c r="P13">
        <v>2</v>
      </c>
      <c r="Q13">
        <v>1</v>
      </c>
      <c r="R13">
        <v>1</v>
      </c>
      <c r="S13">
        <v>1</v>
      </c>
      <c r="T13">
        <v>2</v>
      </c>
      <c r="U13">
        <v>5</v>
      </c>
      <c r="V13">
        <v>6</v>
      </c>
      <c r="W13">
        <v>0</v>
      </c>
      <c r="X13">
        <v>0</v>
      </c>
      <c r="Y13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177E-A32B-4092-BA25-F47ADCDEE241}">
  <dimension ref="A1:Z13"/>
  <sheetViews>
    <sheetView topLeftCell="I1" zoomScaleNormal="100" workbookViewId="0">
      <selection activeCell="D7" sqref="D7"/>
    </sheetView>
  </sheetViews>
  <sheetFormatPr defaultRowHeight="14.5" x14ac:dyDescent="0.35"/>
  <cols>
    <col min="1" max="1" width="6.26953125" bestFit="1" customWidth="1"/>
    <col min="2" max="2" width="12.54296875" bestFit="1" customWidth="1"/>
    <col min="3" max="3" width="14.453125" bestFit="1" customWidth="1"/>
    <col min="4" max="4" width="13.08984375" bestFit="1" customWidth="1"/>
    <col min="5" max="5" width="12.26953125" bestFit="1" customWidth="1"/>
    <col min="6" max="6" width="11.6328125" bestFit="1" customWidth="1"/>
    <col min="7" max="7" width="11.7265625" bestFit="1" customWidth="1"/>
    <col min="8" max="8" width="10.08984375" bestFit="1" customWidth="1"/>
    <col min="9" max="9" width="12.08984375" bestFit="1" customWidth="1"/>
    <col min="10" max="10" width="12.54296875" bestFit="1" customWidth="1"/>
    <col min="11" max="11" width="13.1796875" bestFit="1" customWidth="1"/>
    <col min="12" max="12" width="13.453125" bestFit="1" customWidth="1"/>
    <col min="13" max="13" width="13.1796875" bestFit="1" customWidth="1"/>
    <col min="14" max="14" width="13.453125" bestFit="1" customWidth="1"/>
    <col min="15" max="15" width="13.1796875" bestFit="1" customWidth="1"/>
    <col min="16" max="16" width="13.453125" bestFit="1" customWidth="1"/>
    <col min="17" max="17" width="13.1796875" bestFit="1" customWidth="1"/>
    <col min="18" max="18" width="13.453125" bestFit="1" customWidth="1"/>
    <col min="19" max="19" width="13.1796875" bestFit="1" customWidth="1"/>
    <col min="20" max="20" width="13.453125" bestFit="1" customWidth="1"/>
    <col min="21" max="21" width="13.1796875" bestFit="1" customWidth="1"/>
    <col min="22" max="22" width="13.453125" bestFit="1" customWidth="1"/>
    <col min="23" max="23" width="13.1796875" bestFit="1" customWidth="1"/>
    <col min="24" max="24" width="13.453125" bestFit="1" customWidth="1"/>
    <col min="25" max="25" width="12.08984375" bestFit="1" customWidth="1"/>
    <col min="26" max="26" width="12.5429687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14</v>
      </c>
      <c r="N1" s="1" t="s">
        <v>15</v>
      </c>
      <c r="O1" s="1" t="s">
        <v>33</v>
      </c>
      <c r="P1" s="1" t="s">
        <v>34</v>
      </c>
      <c r="Q1" s="1" t="s">
        <v>18</v>
      </c>
      <c r="R1" s="1" t="s">
        <v>19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22</v>
      </c>
      <c r="X1" s="1" t="s">
        <v>23</v>
      </c>
      <c r="Y1" s="1" t="s">
        <v>39</v>
      </c>
      <c r="Z1" s="1" t="s">
        <v>40</v>
      </c>
    </row>
    <row r="2" spans="1:26" x14ac:dyDescent="0.35">
      <c r="A2" t="s">
        <v>41</v>
      </c>
      <c r="B2" t="s">
        <v>48</v>
      </c>
      <c r="C2" t="s">
        <v>25</v>
      </c>
      <c r="D2">
        <v>6</v>
      </c>
      <c r="E2">
        <v>5</v>
      </c>
      <c r="F2">
        <v>0</v>
      </c>
      <c r="G2">
        <v>1</v>
      </c>
      <c r="H2">
        <v>0</v>
      </c>
      <c r="I2">
        <v>1</v>
      </c>
      <c r="J2">
        <v>3</v>
      </c>
      <c r="K2">
        <v>2</v>
      </c>
      <c r="L2">
        <v>2</v>
      </c>
      <c r="M2">
        <v>0</v>
      </c>
      <c r="N2">
        <v>0</v>
      </c>
      <c r="O2">
        <v>0</v>
      </c>
      <c r="P2">
        <v>0</v>
      </c>
      <c r="Q2">
        <v>3</v>
      </c>
      <c r="R2">
        <v>4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  <c r="Y2">
        <v>1</v>
      </c>
      <c r="Z2">
        <v>1</v>
      </c>
    </row>
    <row r="3" spans="1:26" x14ac:dyDescent="0.35">
      <c r="A3" t="s">
        <v>41</v>
      </c>
      <c r="B3" t="s">
        <v>48</v>
      </c>
      <c r="C3" t="s">
        <v>26</v>
      </c>
      <c r="D3">
        <v>10</v>
      </c>
      <c r="E3">
        <v>8</v>
      </c>
      <c r="F3">
        <v>0</v>
      </c>
      <c r="G3">
        <v>2</v>
      </c>
      <c r="H3">
        <v>0</v>
      </c>
      <c r="I3">
        <v>1</v>
      </c>
      <c r="J3">
        <v>3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5</v>
      </c>
      <c r="R3">
        <v>7</v>
      </c>
      <c r="S3">
        <v>1</v>
      </c>
      <c r="T3">
        <v>1</v>
      </c>
      <c r="U3">
        <v>1</v>
      </c>
      <c r="V3">
        <v>2</v>
      </c>
      <c r="W3">
        <v>2</v>
      </c>
      <c r="X3">
        <v>2</v>
      </c>
      <c r="Y3">
        <v>2</v>
      </c>
      <c r="Z3">
        <v>4</v>
      </c>
    </row>
    <row r="4" spans="1:26" x14ac:dyDescent="0.35">
      <c r="A4" t="s">
        <v>41</v>
      </c>
      <c r="B4" t="s">
        <v>48</v>
      </c>
      <c r="C4" t="s">
        <v>27</v>
      </c>
      <c r="D4">
        <v>3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2</v>
      </c>
      <c r="O4">
        <v>0</v>
      </c>
      <c r="P4">
        <v>0</v>
      </c>
      <c r="Q4">
        <v>5</v>
      </c>
      <c r="R4">
        <v>7</v>
      </c>
      <c r="S4">
        <v>2</v>
      </c>
      <c r="T4">
        <v>2</v>
      </c>
      <c r="U4">
        <v>0</v>
      </c>
      <c r="V4">
        <v>0</v>
      </c>
      <c r="W4">
        <v>0</v>
      </c>
      <c r="X4">
        <v>0</v>
      </c>
      <c r="Y4">
        <v>2</v>
      </c>
      <c r="Z4">
        <v>2</v>
      </c>
    </row>
    <row r="5" spans="1:26" x14ac:dyDescent="0.35">
      <c r="A5" t="s">
        <v>41</v>
      </c>
      <c r="B5" t="s">
        <v>48</v>
      </c>
      <c r="C5" t="s">
        <v>28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41</v>
      </c>
      <c r="B6" t="s">
        <v>49</v>
      </c>
      <c r="C6" t="s">
        <v>25</v>
      </c>
      <c r="D6">
        <v>2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2</v>
      </c>
      <c r="R6">
        <v>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</row>
    <row r="7" spans="1:26" x14ac:dyDescent="0.35">
      <c r="A7" t="s">
        <v>41</v>
      </c>
      <c r="B7" t="s">
        <v>49</v>
      </c>
      <c r="C7" t="s">
        <v>26</v>
      </c>
      <c r="D7">
        <v>3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2</v>
      </c>
      <c r="S7">
        <v>1</v>
      </c>
      <c r="T7">
        <v>1</v>
      </c>
      <c r="U7">
        <v>0</v>
      </c>
      <c r="V7">
        <v>0</v>
      </c>
      <c r="W7">
        <v>2</v>
      </c>
      <c r="X7">
        <v>2</v>
      </c>
      <c r="Y7">
        <v>0</v>
      </c>
      <c r="Z7">
        <v>0</v>
      </c>
    </row>
    <row r="8" spans="1:26" x14ac:dyDescent="0.35">
      <c r="A8" t="s">
        <v>41</v>
      </c>
      <c r="B8" t="s">
        <v>49</v>
      </c>
      <c r="C8" t="s">
        <v>27</v>
      </c>
      <c r="D8">
        <v>2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3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2</v>
      </c>
      <c r="Z8">
        <v>2</v>
      </c>
    </row>
    <row r="9" spans="1:26" x14ac:dyDescent="0.35">
      <c r="A9" t="s">
        <v>41</v>
      </c>
      <c r="B9" t="s">
        <v>49</v>
      </c>
      <c r="C9" t="s">
        <v>28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</row>
    <row r="10" spans="1:26" x14ac:dyDescent="0.35">
      <c r="A10" t="s">
        <v>41</v>
      </c>
      <c r="B10" t="s">
        <v>47</v>
      </c>
      <c r="C10" t="s">
        <v>25</v>
      </c>
      <c r="D10">
        <v>1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2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</row>
    <row r="11" spans="1:26" x14ac:dyDescent="0.35">
      <c r="A11" t="s">
        <v>41</v>
      </c>
      <c r="B11" t="s">
        <v>47</v>
      </c>
      <c r="C11" t="s">
        <v>26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41</v>
      </c>
      <c r="B12" t="s">
        <v>47</v>
      </c>
      <c r="C12" t="s">
        <v>27</v>
      </c>
      <c r="D12">
        <v>1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2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</row>
    <row r="13" spans="1:26" x14ac:dyDescent="0.35">
      <c r="A13" t="s">
        <v>41</v>
      </c>
      <c r="B13" t="s">
        <v>47</v>
      </c>
      <c r="C13" t="s">
        <v>28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86B2-4AC9-46B4-96F4-A391EFE4CD21}">
  <dimension ref="A1:Z13"/>
  <sheetViews>
    <sheetView workbookViewId="0">
      <selection activeCell="A11" sqref="A11:XFD12"/>
    </sheetView>
  </sheetViews>
  <sheetFormatPr defaultRowHeight="14.5" x14ac:dyDescent="0.35"/>
  <cols>
    <col min="2" max="2" width="9.906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42</v>
      </c>
      <c r="J1" s="1" t="s">
        <v>43</v>
      </c>
      <c r="K1" s="1" t="s">
        <v>29</v>
      </c>
      <c r="L1" s="1" t="s">
        <v>30</v>
      </c>
      <c r="M1" s="1" t="s">
        <v>44</v>
      </c>
      <c r="N1" s="1" t="s">
        <v>45</v>
      </c>
      <c r="O1" s="1" t="s">
        <v>31</v>
      </c>
      <c r="P1" s="1" t="s">
        <v>32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35</v>
      </c>
      <c r="X1" s="1" t="s">
        <v>36</v>
      </c>
      <c r="Y1" s="1" t="s">
        <v>39</v>
      </c>
      <c r="Z1" s="1" t="s">
        <v>40</v>
      </c>
    </row>
    <row r="2" spans="1:26" x14ac:dyDescent="0.35">
      <c r="A2" t="s">
        <v>46</v>
      </c>
      <c r="B2" t="s">
        <v>47</v>
      </c>
      <c r="C2" t="s">
        <v>26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3</v>
      </c>
      <c r="W2">
        <v>0</v>
      </c>
      <c r="X2">
        <v>0</v>
      </c>
      <c r="Y2">
        <v>0</v>
      </c>
      <c r="Z2">
        <v>0</v>
      </c>
    </row>
    <row r="3" spans="1:26" x14ac:dyDescent="0.35">
      <c r="A3" t="s">
        <v>46</v>
      </c>
      <c r="B3" t="s">
        <v>47</v>
      </c>
      <c r="C3" t="s">
        <v>27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2</v>
      </c>
      <c r="W3">
        <v>0</v>
      </c>
      <c r="X3">
        <v>0</v>
      </c>
      <c r="Y3">
        <v>0</v>
      </c>
      <c r="Z3">
        <v>0</v>
      </c>
    </row>
    <row r="4" spans="1:26" x14ac:dyDescent="0.35">
      <c r="A4" t="s">
        <v>46</v>
      </c>
      <c r="B4" t="s">
        <v>47</v>
      </c>
      <c r="C4" t="s">
        <v>28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0</v>
      </c>
      <c r="X4">
        <v>0</v>
      </c>
      <c r="Y4">
        <v>0</v>
      </c>
      <c r="Z4">
        <v>0</v>
      </c>
    </row>
    <row r="5" spans="1:26" x14ac:dyDescent="0.35">
      <c r="A5" t="s">
        <v>46</v>
      </c>
      <c r="B5" t="s">
        <v>47</v>
      </c>
      <c r="C5" t="s">
        <v>25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2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46</v>
      </c>
      <c r="B6" t="s">
        <v>49</v>
      </c>
      <c r="C6" t="s">
        <v>25</v>
      </c>
      <c r="D6">
        <v>1</v>
      </c>
      <c r="E6">
        <v>3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3</v>
      </c>
      <c r="W6">
        <v>0</v>
      </c>
      <c r="X6">
        <v>0</v>
      </c>
      <c r="Y6">
        <v>0</v>
      </c>
      <c r="Z6">
        <v>0</v>
      </c>
    </row>
    <row r="7" spans="1:26" x14ac:dyDescent="0.35">
      <c r="A7" t="s">
        <v>46</v>
      </c>
      <c r="B7" t="s">
        <v>49</v>
      </c>
      <c r="C7" t="s">
        <v>26</v>
      </c>
      <c r="D7">
        <v>1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2</v>
      </c>
      <c r="W7">
        <v>0</v>
      </c>
      <c r="X7">
        <v>0</v>
      </c>
      <c r="Y7">
        <v>1</v>
      </c>
      <c r="Z7">
        <v>1</v>
      </c>
    </row>
    <row r="8" spans="1:26" x14ac:dyDescent="0.35">
      <c r="A8" t="s">
        <v>46</v>
      </c>
      <c r="B8" t="s">
        <v>49</v>
      </c>
      <c r="C8" t="s">
        <v>27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2</v>
      </c>
      <c r="W8">
        <v>0</v>
      </c>
      <c r="X8">
        <v>0</v>
      </c>
      <c r="Y8">
        <v>0</v>
      </c>
      <c r="Z8">
        <v>0</v>
      </c>
    </row>
    <row r="9" spans="1:26" x14ac:dyDescent="0.35">
      <c r="A9" t="s">
        <v>46</v>
      </c>
      <c r="B9" t="s">
        <v>49</v>
      </c>
      <c r="C9" t="s">
        <v>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t="s">
        <v>46</v>
      </c>
      <c r="B10" t="s">
        <v>48</v>
      </c>
      <c r="C10" t="s">
        <v>25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4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t="s">
        <v>46</v>
      </c>
      <c r="B11" t="s">
        <v>48</v>
      </c>
      <c r="C11" t="s">
        <v>26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</v>
      </c>
      <c r="V11">
        <v>7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46</v>
      </c>
      <c r="B12" t="s">
        <v>48</v>
      </c>
      <c r="C12" t="s">
        <v>27</v>
      </c>
      <c r="D12">
        <v>0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4</v>
      </c>
      <c r="V12">
        <v>7</v>
      </c>
      <c r="W12">
        <v>1</v>
      </c>
      <c r="X12">
        <v>1</v>
      </c>
      <c r="Y12">
        <v>0</v>
      </c>
      <c r="Z12">
        <v>0</v>
      </c>
    </row>
    <row r="13" spans="1:26" x14ac:dyDescent="0.35">
      <c r="A13" t="s">
        <v>46</v>
      </c>
      <c r="B13" t="s">
        <v>48</v>
      </c>
      <c r="C13" t="s">
        <v>28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2</v>
      </c>
      <c r="W13">
        <v>0</v>
      </c>
      <c r="X13">
        <v>0</v>
      </c>
      <c r="Y13">
        <v>0</v>
      </c>
      <c r="Z13">
        <v>0</v>
      </c>
    </row>
  </sheetData>
  <sortState xmlns:xlrd2="http://schemas.microsoft.com/office/spreadsheetml/2017/richdata2" ref="A2:Z13">
    <sortCondition descending="1" ref="B1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</vt:lpstr>
      <vt:lpstr>Java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2025-11-17T23:34:38Z</dcterms:created>
  <dcterms:modified xsi:type="dcterms:W3CDTF">2025-12-21T01:48:29Z</dcterms:modified>
</cp:coreProperties>
</file>